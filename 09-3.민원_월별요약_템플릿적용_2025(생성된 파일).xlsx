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05.제출용\YBM\논산시청\"/>
    </mc:Choice>
  </mc:AlternateContent>
  <xr:revisionPtr revIDLastSave="0" documentId="8_{2A3459FA-EE57-40B8-99F4-A2EB8A4A82A0}" xr6:coauthVersionLast="47" xr6:coauthVersionMax="47" xr10:uidLastSave="{00000000-0000-0000-0000-000000000000}"/>
  <bookViews>
    <workbookView xWindow="8080" yWindow="7070" windowWidth="17990" windowHeight="10580" activeTab="11" xr2:uid="{00000000-000D-0000-FFFF-FFFF00000000}"/>
  </bookViews>
  <sheets>
    <sheet name="1월" sheetId="1" r:id="rId1"/>
    <sheet name="2월" sheetId="2" r:id="rId2"/>
    <sheet name="3월" sheetId="3" r:id="rId3"/>
    <sheet name="4월" sheetId="4" r:id="rId4"/>
    <sheet name="5월" sheetId="5" r:id="rId5"/>
    <sheet name="6월" sheetId="6" r:id="rId6"/>
    <sheet name="7월" sheetId="7" r:id="rId7"/>
    <sheet name="8월" sheetId="8" r:id="rId8"/>
    <sheet name="9월" sheetId="9" r:id="rId9"/>
    <sheet name="10월" sheetId="10" r:id="rId10"/>
    <sheet name="11월" sheetId="11" r:id="rId11"/>
    <sheet name="12월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2" l="1"/>
  <c r="D8" i="12"/>
  <c r="C8" i="12"/>
  <c r="F8" i="12" s="1"/>
  <c r="B8" i="12"/>
  <c r="F7" i="12"/>
  <c r="F6" i="12"/>
  <c r="F5" i="12"/>
  <c r="F4" i="12"/>
  <c r="F3" i="12"/>
  <c r="E8" i="11"/>
  <c r="D8" i="11"/>
  <c r="C8" i="11"/>
  <c r="F8" i="11" s="1"/>
  <c r="B8" i="11"/>
  <c r="F7" i="11"/>
  <c r="F6" i="11"/>
  <c r="F5" i="11"/>
  <c r="F4" i="11"/>
  <c r="F3" i="11"/>
  <c r="E8" i="10"/>
  <c r="D8" i="10"/>
  <c r="C8" i="10"/>
  <c r="F8" i="10" s="1"/>
  <c r="B8" i="10"/>
  <c r="F7" i="10"/>
  <c r="F6" i="10"/>
  <c r="F5" i="10"/>
  <c r="F4" i="10"/>
  <c r="F3" i="10"/>
  <c r="E8" i="9"/>
  <c r="D8" i="9"/>
  <c r="C8" i="9"/>
  <c r="F8" i="9" s="1"/>
  <c r="B8" i="9"/>
  <c r="F7" i="9"/>
  <c r="F6" i="9"/>
  <c r="F5" i="9"/>
  <c r="F4" i="9"/>
  <c r="F3" i="9"/>
  <c r="F8" i="8"/>
  <c r="E8" i="8"/>
  <c r="D8" i="8"/>
  <c r="C8" i="8"/>
  <c r="B8" i="8"/>
  <c r="F7" i="8"/>
  <c r="F6" i="8"/>
  <c r="F5" i="8"/>
  <c r="F4" i="8"/>
  <c r="F3" i="8"/>
  <c r="E8" i="7"/>
  <c r="D8" i="7"/>
  <c r="C8" i="7"/>
  <c r="F8" i="7" s="1"/>
  <c r="B8" i="7"/>
  <c r="F7" i="7"/>
  <c r="F6" i="7"/>
  <c r="F5" i="7"/>
  <c r="F4" i="7"/>
  <c r="F3" i="7"/>
  <c r="F8" i="6"/>
  <c r="E8" i="6"/>
  <c r="D8" i="6"/>
  <c r="C8" i="6"/>
  <c r="B8" i="6"/>
  <c r="F7" i="6"/>
  <c r="F6" i="6"/>
  <c r="F5" i="6"/>
  <c r="F4" i="6"/>
  <c r="F3" i="6"/>
  <c r="F8" i="5"/>
  <c r="E8" i="5"/>
  <c r="D8" i="5"/>
  <c r="C8" i="5"/>
  <c r="B8" i="5"/>
  <c r="F7" i="5"/>
  <c r="F6" i="5"/>
  <c r="F5" i="5"/>
  <c r="F4" i="5"/>
  <c r="F3" i="5"/>
  <c r="E8" i="4"/>
  <c r="D8" i="4"/>
  <c r="C8" i="4"/>
  <c r="B8" i="4"/>
  <c r="F8" i="4" s="1"/>
  <c r="F7" i="4"/>
  <c r="F6" i="4"/>
  <c r="F5" i="4"/>
  <c r="F4" i="4"/>
  <c r="F3" i="4"/>
  <c r="E8" i="3"/>
  <c r="D8" i="3"/>
  <c r="C8" i="3"/>
  <c r="F8" i="3" s="1"/>
  <c r="B8" i="3"/>
  <c r="F7" i="3"/>
  <c r="F6" i="3"/>
  <c r="F5" i="3"/>
  <c r="F4" i="3"/>
  <c r="F3" i="3"/>
  <c r="E8" i="2"/>
  <c r="D8" i="2"/>
  <c r="C8" i="2"/>
  <c r="F8" i="2" s="1"/>
  <c r="B8" i="2"/>
  <c r="F7" i="2"/>
  <c r="F6" i="2"/>
  <c r="F5" i="2"/>
  <c r="F4" i="2"/>
  <c r="F3" i="2"/>
  <c r="E8" i="1"/>
  <c r="D8" i="1"/>
  <c r="C8" i="1"/>
  <c r="F8" i="1" s="1"/>
  <c r="B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<sst xmlns="http://schemas.openxmlformats.org/spreadsheetml/2006/main" count="156" uniqueCount="24">
  <si>
    <t>1월 부서별 민원처리 현황</t>
  </si>
  <si>
    <t>구분</t>
  </si>
  <si>
    <t>민원수</t>
  </si>
  <si>
    <t>완료</t>
  </si>
  <si>
    <t>처리중</t>
  </si>
  <si>
    <t>접수</t>
  </si>
  <si>
    <t>완료율(%)</t>
  </si>
  <si>
    <t>복지</t>
  </si>
  <si>
    <t>재난안전</t>
  </si>
  <si>
    <t>환경위생</t>
  </si>
  <si>
    <t>건축</t>
  </si>
  <si>
    <t>교육</t>
  </si>
  <si>
    <t>합계</t>
  </si>
  <si>
    <t>2월 부서별 민원처리 현황</t>
  </si>
  <si>
    <t>3월 부서별 민원처리 현황</t>
  </si>
  <si>
    <t>4월 부서별 민원처리 현황</t>
  </si>
  <si>
    <t>5월 부서별 민원처리 현황</t>
  </si>
  <si>
    <t>6월 부서별 민원처리 현황</t>
  </si>
  <si>
    <t>7월 부서별 민원처리 현황</t>
  </si>
  <si>
    <t>8월 부서별 민원처리 현황</t>
  </si>
  <si>
    <t>9월 부서별 민원처리 현황</t>
  </si>
  <si>
    <t>10월 부서별 민원처리 현황</t>
  </si>
  <si>
    <t>11월 부서별 민원처리 현황</t>
  </si>
  <si>
    <t>12월 부서별 민원처리 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</si>
</sst>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/>
    <xf numFmtId="10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B3" sqref="B3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0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8</v>
      </c>
      <c r="C3" s="1">
        <v>2</v>
      </c>
      <c r="D3" s="1">
        <v>4</v>
      </c>
      <c r="E3" s="1">
        <v>2</v>
      </c>
      <c r="F3" s="5">
        <f t="shared" ref="F3:F8" si="0">IFERROR(C3/B3,0)</f>
        <v>0.25</v>
      </c>
    </row>
    <row r="4" spans="1:6" ht="25" customHeight="1" x14ac:dyDescent="0.45">
      <c r="A4" s="2" t="s">
        <v>8</v>
      </c>
      <c r="B4" s="1">
        <v>11</v>
      </c>
      <c r="C4" s="1">
        <v>5</v>
      </c>
      <c r="D4" s="1">
        <v>4</v>
      </c>
      <c r="E4" s="1">
        <v>2</v>
      </c>
      <c r="F4" s="5">
        <f t="shared" si="0"/>
        <v>0.45454545454545453</v>
      </c>
    </row>
    <row r="5" spans="1:6" ht="25" customHeight="1" x14ac:dyDescent="0.45">
      <c r="A5" s="2" t="s">
        <v>9</v>
      </c>
      <c r="B5" s="1">
        <v>14</v>
      </c>
      <c r="C5" s="1">
        <v>7</v>
      </c>
      <c r="D5" s="1">
        <v>5</v>
      </c>
      <c r="E5" s="1">
        <v>2</v>
      </c>
      <c r="F5" s="5">
        <f t="shared" si="0"/>
        <v>0.5</v>
      </c>
    </row>
    <row r="6" spans="1:6" ht="25" customHeight="1" x14ac:dyDescent="0.45">
      <c r="A6" s="2" t="s">
        <v>10</v>
      </c>
      <c r="B6" s="1">
        <v>9</v>
      </c>
      <c r="C6" s="1">
        <v>3</v>
      </c>
      <c r="D6" s="1">
        <v>1</v>
      </c>
      <c r="E6" s="1">
        <v>5</v>
      </c>
      <c r="F6" s="5">
        <f t="shared" si="0"/>
        <v>0.33333333333333331</v>
      </c>
    </row>
    <row r="7" spans="1:6" ht="25" customHeight="1" x14ac:dyDescent="0.45">
      <c r="A7" s="2" t="s">
        <v>11</v>
      </c>
      <c r="B7" s="1">
        <v>8</v>
      </c>
      <c r="C7" s="1">
        <v>1</v>
      </c>
      <c r="D7" s="1">
        <v>7</v>
      </c>
      <c r="E7" s="1">
        <v>0</v>
      </c>
      <c r="F7" s="5">
        <f t="shared" si="0"/>
        <v>0.125</v>
      </c>
    </row>
    <row r="8" spans="1:6" ht="25" customHeight="1" x14ac:dyDescent="0.45">
      <c r="A8" s="2" t="s">
        <v>12</v>
      </c>
      <c r="B8" s="2">
        <f>SUM(B3:B7)</f>
        <v>50</v>
      </c>
      <c r="C8" s="2">
        <f>SUM(C3:C7)</f>
        <v>18</v>
      </c>
      <c r="D8" s="2">
        <f>SUM(D3:D7)</f>
        <v>21</v>
      </c>
      <c r="E8" s="2">
        <f>SUM(E3:E7)</f>
        <v>11</v>
      </c>
      <c r="F8" s="5">
        <f t="shared" si="0"/>
        <v>0.36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13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9</v>
      </c>
      <c r="C3" s="1">
        <v>3</v>
      </c>
      <c r="D3" s="1">
        <v>4</v>
      </c>
      <c r="E3" s="1">
        <v>2</v>
      </c>
      <c r="F3" s="5">
        <f t="shared" ref="F3:F8" si="0">IFERROR(C3/B3,0)</f>
        <v>0.33333333333333331</v>
      </c>
    </row>
    <row r="4" spans="1:6" ht="25" customHeight="1" x14ac:dyDescent="0.45">
      <c r="A4" s="2" t="s">
        <v>8</v>
      </c>
      <c r="B4" s="1">
        <v>9</v>
      </c>
      <c r="C4" s="1">
        <v>6</v>
      </c>
      <c r="D4" s="1">
        <v>1</v>
      </c>
      <c r="E4" s="1">
        <v>2</v>
      </c>
      <c r="F4" s="5">
        <f t="shared" si="0"/>
        <v>0.66666666666666663</v>
      </c>
    </row>
    <row r="5" spans="1:6" ht="25" customHeight="1" x14ac:dyDescent="0.45">
      <c r="A5" s="2" t="s">
        <v>9</v>
      </c>
      <c r="B5" s="1">
        <v>5</v>
      </c>
      <c r="C5" s="1">
        <v>2</v>
      </c>
      <c r="D5" s="1">
        <v>2</v>
      </c>
      <c r="E5" s="1">
        <v>1</v>
      </c>
      <c r="F5" s="5">
        <f t="shared" si="0"/>
        <v>0.4</v>
      </c>
    </row>
    <row r="6" spans="1:6" ht="25" customHeight="1" x14ac:dyDescent="0.45">
      <c r="A6" s="2" t="s">
        <v>10</v>
      </c>
      <c r="B6" s="1">
        <v>15</v>
      </c>
      <c r="C6" s="1">
        <v>8</v>
      </c>
      <c r="D6" s="1">
        <v>3</v>
      </c>
      <c r="E6" s="1">
        <v>4</v>
      </c>
      <c r="F6" s="5">
        <f t="shared" si="0"/>
        <v>0.53333333333333333</v>
      </c>
    </row>
    <row r="7" spans="1:6" ht="25" customHeight="1" x14ac:dyDescent="0.45">
      <c r="A7" s="2" t="s">
        <v>11</v>
      </c>
      <c r="B7" s="1">
        <v>8</v>
      </c>
      <c r="C7" s="1">
        <v>5</v>
      </c>
      <c r="D7" s="1">
        <v>2</v>
      </c>
      <c r="E7" s="1">
        <v>1</v>
      </c>
      <c r="F7" s="5">
        <f t="shared" si="0"/>
        <v>0.625</v>
      </c>
    </row>
    <row r="8" spans="1:6" ht="25" customHeight="1" x14ac:dyDescent="0.45">
      <c r="A8" s="2" t="s">
        <v>12</v>
      </c>
      <c r="B8" s="2">
        <f>SUM(B3:B7)</f>
        <v>46</v>
      </c>
      <c r="C8" s="2">
        <f>SUM(C3:C7)</f>
        <v>24</v>
      </c>
      <c r="D8" s="2">
        <f>SUM(D3:D7)</f>
        <v>12</v>
      </c>
      <c r="E8" s="2">
        <f>SUM(E3:E7)</f>
        <v>10</v>
      </c>
      <c r="F8" s="5">
        <f t="shared" si="0"/>
        <v>0.52173913043478259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14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12</v>
      </c>
      <c r="C3" s="1">
        <v>4</v>
      </c>
      <c r="D3" s="1">
        <v>5</v>
      </c>
      <c r="E3" s="1">
        <v>3</v>
      </c>
      <c r="F3" s="5">
        <f t="shared" ref="F3:F8" si="0">IFERROR(C3/B3,0)</f>
        <v>0.33333333333333331</v>
      </c>
    </row>
    <row r="4" spans="1:6" ht="25" customHeight="1" x14ac:dyDescent="0.45">
      <c r="A4" s="2" t="s">
        <v>8</v>
      </c>
      <c r="B4" s="1">
        <v>9</v>
      </c>
      <c r="C4" s="1">
        <v>3</v>
      </c>
      <c r="D4" s="1">
        <v>2</v>
      </c>
      <c r="E4" s="1">
        <v>4</v>
      </c>
      <c r="F4" s="5">
        <f t="shared" si="0"/>
        <v>0.33333333333333331</v>
      </c>
    </row>
    <row r="5" spans="1:6" ht="25" customHeight="1" x14ac:dyDescent="0.45">
      <c r="A5" s="2" t="s">
        <v>9</v>
      </c>
      <c r="B5" s="1">
        <v>12</v>
      </c>
      <c r="C5" s="1">
        <v>1</v>
      </c>
      <c r="D5" s="1">
        <v>5</v>
      </c>
      <c r="E5" s="1">
        <v>6</v>
      </c>
      <c r="F5" s="5">
        <f t="shared" si="0"/>
        <v>8.3333333333333329E-2</v>
      </c>
    </row>
    <row r="6" spans="1:6" ht="25" customHeight="1" x14ac:dyDescent="0.45">
      <c r="A6" s="2" t="s">
        <v>10</v>
      </c>
      <c r="B6" s="1">
        <v>5</v>
      </c>
      <c r="C6" s="1">
        <v>3</v>
      </c>
      <c r="D6" s="1">
        <v>1</v>
      </c>
      <c r="E6" s="1">
        <v>1</v>
      </c>
      <c r="F6" s="5">
        <f t="shared" si="0"/>
        <v>0.6</v>
      </c>
    </row>
    <row r="7" spans="1:6" ht="25" customHeight="1" x14ac:dyDescent="0.45">
      <c r="A7" s="2" t="s">
        <v>11</v>
      </c>
      <c r="B7" s="1">
        <v>10</v>
      </c>
      <c r="C7" s="1">
        <v>3</v>
      </c>
      <c r="D7" s="1">
        <v>4</v>
      </c>
      <c r="E7" s="1">
        <v>3</v>
      </c>
      <c r="F7" s="5">
        <f t="shared" si="0"/>
        <v>0.3</v>
      </c>
    </row>
    <row r="8" spans="1:6" ht="25" customHeight="1" x14ac:dyDescent="0.45">
      <c r="A8" s="2" t="s">
        <v>12</v>
      </c>
      <c r="B8" s="2">
        <f>SUM(B3:B7)</f>
        <v>48</v>
      </c>
      <c r="C8" s="2">
        <f>SUM(C3:C7)</f>
        <v>14</v>
      </c>
      <c r="D8" s="2">
        <f>SUM(D3:D7)</f>
        <v>17</v>
      </c>
      <c r="E8" s="2">
        <f>SUM(E3:E7)</f>
        <v>17</v>
      </c>
      <c r="F8" s="5">
        <f t="shared" si="0"/>
        <v>0.29166666666666669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15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4</v>
      </c>
      <c r="C3" s="1">
        <v>1</v>
      </c>
      <c r="D3" s="1">
        <v>1</v>
      </c>
      <c r="E3" s="1">
        <v>2</v>
      </c>
      <c r="F3" s="5">
        <f t="shared" ref="F3:F8" si="0">IFERROR(C3/B3,0)</f>
        <v>0.25</v>
      </c>
    </row>
    <row r="4" spans="1:6" ht="25" customHeight="1" x14ac:dyDescent="0.45">
      <c r="A4" s="2" t="s">
        <v>8</v>
      </c>
      <c r="B4" s="1">
        <v>7</v>
      </c>
      <c r="C4" s="1">
        <v>2</v>
      </c>
      <c r="D4" s="1">
        <v>3</v>
      </c>
      <c r="E4" s="1">
        <v>2</v>
      </c>
      <c r="F4" s="5">
        <f t="shared" si="0"/>
        <v>0.2857142857142857</v>
      </c>
    </row>
    <row r="5" spans="1:6" ht="25" customHeight="1" x14ac:dyDescent="0.45">
      <c r="A5" s="2" t="s">
        <v>9</v>
      </c>
      <c r="B5" s="1">
        <v>4</v>
      </c>
      <c r="C5" s="1">
        <v>0</v>
      </c>
      <c r="D5" s="1">
        <v>2</v>
      </c>
      <c r="E5" s="1">
        <v>2</v>
      </c>
      <c r="F5" s="5">
        <f t="shared" si="0"/>
        <v>0</v>
      </c>
    </row>
    <row r="6" spans="1:6" ht="25" customHeight="1" x14ac:dyDescent="0.45">
      <c r="A6" s="2" t="s">
        <v>10</v>
      </c>
      <c r="B6" s="1">
        <v>7</v>
      </c>
      <c r="C6" s="1">
        <v>0</v>
      </c>
      <c r="D6" s="1">
        <v>5</v>
      </c>
      <c r="E6" s="1">
        <v>2</v>
      </c>
      <c r="F6" s="5">
        <f t="shared" si="0"/>
        <v>0</v>
      </c>
    </row>
    <row r="7" spans="1:6" ht="25" customHeight="1" x14ac:dyDescent="0.45">
      <c r="A7" s="2" t="s">
        <v>11</v>
      </c>
      <c r="B7" s="1">
        <v>11</v>
      </c>
      <c r="C7" s="1">
        <v>3</v>
      </c>
      <c r="D7" s="1">
        <v>0</v>
      </c>
      <c r="E7" s="1">
        <v>8</v>
      </c>
      <c r="F7" s="5">
        <f t="shared" si="0"/>
        <v>0.27272727272727271</v>
      </c>
    </row>
    <row r="8" spans="1:6" ht="25" customHeight="1" x14ac:dyDescent="0.45">
      <c r="A8" s="2" t="s">
        <v>12</v>
      </c>
      <c r="B8" s="2">
        <f>SUM(B3:B7)</f>
        <v>33</v>
      </c>
      <c r="C8" s="2">
        <f>SUM(C3:C7)</f>
        <v>6</v>
      </c>
      <c r="D8" s="2">
        <f>SUM(D3:D7)</f>
        <v>11</v>
      </c>
      <c r="E8" s="2">
        <f>SUM(E3:E7)</f>
        <v>16</v>
      </c>
      <c r="F8" s="5">
        <f t="shared" si="0"/>
        <v>0.18181818181818182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16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5</v>
      </c>
      <c r="C3" s="1">
        <v>2</v>
      </c>
      <c r="D3" s="1">
        <v>1</v>
      </c>
      <c r="E3" s="1">
        <v>2</v>
      </c>
      <c r="F3" s="5">
        <f t="shared" ref="F3:F8" si="0">IFERROR(C3/B3,0)</f>
        <v>0.4</v>
      </c>
    </row>
    <row r="4" spans="1:6" ht="25" customHeight="1" x14ac:dyDescent="0.45">
      <c r="A4" s="2" t="s">
        <v>8</v>
      </c>
      <c r="B4" s="1">
        <v>12</v>
      </c>
      <c r="C4" s="1">
        <v>3</v>
      </c>
      <c r="D4" s="1">
        <v>7</v>
      </c>
      <c r="E4" s="1">
        <v>2</v>
      </c>
      <c r="F4" s="5">
        <f t="shared" si="0"/>
        <v>0.25</v>
      </c>
    </row>
    <row r="5" spans="1:6" ht="25" customHeight="1" x14ac:dyDescent="0.45">
      <c r="A5" s="2" t="s">
        <v>9</v>
      </c>
      <c r="B5" s="1">
        <v>8</v>
      </c>
      <c r="C5" s="1">
        <v>1</v>
      </c>
      <c r="D5" s="1">
        <v>4</v>
      </c>
      <c r="E5" s="1">
        <v>3</v>
      </c>
      <c r="F5" s="5">
        <f t="shared" si="0"/>
        <v>0.125</v>
      </c>
    </row>
    <row r="6" spans="1:6" ht="25" customHeight="1" x14ac:dyDescent="0.45">
      <c r="A6" s="2" t="s">
        <v>10</v>
      </c>
      <c r="B6" s="1">
        <v>15</v>
      </c>
      <c r="C6" s="1">
        <v>2</v>
      </c>
      <c r="D6" s="1">
        <v>5</v>
      </c>
      <c r="E6" s="1">
        <v>8</v>
      </c>
      <c r="F6" s="5">
        <f t="shared" si="0"/>
        <v>0.13333333333333333</v>
      </c>
    </row>
    <row r="7" spans="1:6" ht="25" customHeight="1" x14ac:dyDescent="0.45">
      <c r="A7" s="2" t="s">
        <v>11</v>
      </c>
      <c r="B7" s="1">
        <v>6</v>
      </c>
      <c r="C7" s="1">
        <v>2</v>
      </c>
      <c r="D7" s="1">
        <v>1</v>
      </c>
      <c r="E7" s="1">
        <v>3</v>
      </c>
      <c r="F7" s="5">
        <f t="shared" si="0"/>
        <v>0.33333333333333331</v>
      </c>
    </row>
    <row r="8" spans="1:6" ht="25" customHeight="1" x14ac:dyDescent="0.45">
      <c r="A8" s="2" t="s">
        <v>12</v>
      </c>
      <c r="B8" s="2">
        <f>SUM(B3:B7)</f>
        <v>46</v>
      </c>
      <c r="C8" s="2">
        <f>SUM(C3:C7)</f>
        <v>10</v>
      </c>
      <c r="D8" s="2">
        <f>SUM(D3:D7)</f>
        <v>18</v>
      </c>
      <c r="E8" s="2">
        <f>SUM(E3:E7)</f>
        <v>18</v>
      </c>
      <c r="F8" s="5">
        <f t="shared" si="0"/>
        <v>0.21739130434782608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17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3</v>
      </c>
      <c r="C3" s="1">
        <v>1</v>
      </c>
      <c r="D3" s="1">
        <v>0</v>
      </c>
      <c r="E3" s="1">
        <v>2</v>
      </c>
      <c r="F3" s="5">
        <f t="shared" ref="F3:F8" si="0">IFERROR(C3/B3,0)</f>
        <v>0.33333333333333331</v>
      </c>
    </row>
    <row r="4" spans="1:6" ht="25" customHeight="1" x14ac:dyDescent="0.45">
      <c r="A4" s="2" t="s">
        <v>8</v>
      </c>
      <c r="B4" s="1">
        <v>8</v>
      </c>
      <c r="C4" s="1">
        <v>3</v>
      </c>
      <c r="D4" s="1">
        <v>2</v>
      </c>
      <c r="E4" s="1">
        <v>3</v>
      </c>
      <c r="F4" s="5">
        <f t="shared" si="0"/>
        <v>0.375</v>
      </c>
    </row>
    <row r="5" spans="1:6" ht="25" customHeight="1" x14ac:dyDescent="0.45">
      <c r="A5" s="2" t="s">
        <v>9</v>
      </c>
      <c r="B5" s="1">
        <v>7</v>
      </c>
      <c r="C5" s="1">
        <v>1</v>
      </c>
      <c r="D5" s="1">
        <v>4</v>
      </c>
      <c r="E5" s="1">
        <v>2</v>
      </c>
      <c r="F5" s="5">
        <f t="shared" si="0"/>
        <v>0.14285714285714285</v>
      </c>
    </row>
    <row r="6" spans="1:6" ht="25" customHeight="1" x14ac:dyDescent="0.45">
      <c r="A6" s="2" t="s">
        <v>10</v>
      </c>
      <c r="B6" s="1">
        <v>5</v>
      </c>
      <c r="C6" s="1">
        <v>0</v>
      </c>
      <c r="D6" s="1">
        <v>0</v>
      </c>
      <c r="E6" s="1">
        <v>5</v>
      </c>
      <c r="F6" s="5">
        <f t="shared" si="0"/>
        <v>0</v>
      </c>
    </row>
    <row r="7" spans="1:6" ht="25" customHeight="1" x14ac:dyDescent="0.45">
      <c r="A7" s="2" t="s">
        <v>11</v>
      </c>
      <c r="B7" s="1">
        <v>8</v>
      </c>
      <c r="C7" s="1">
        <v>1</v>
      </c>
      <c r="D7" s="1">
        <v>2</v>
      </c>
      <c r="E7" s="1">
        <v>5</v>
      </c>
      <c r="F7" s="5">
        <f t="shared" si="0"/>
        <v>0.125</v>
      </c>
    </row>
    <row r="8" spans="1:6" ht="25" customHeight="1" x14ac:dyDescent="0.45">
      <c r="A8" s="2" t="s">
        <v>12</v>
      </c>
      <c r="B8" s="2">
        <f>SUM(B3:B7)</f>
        <v>31</v>
      </c>
      <c r="C8" s="2">
        <f>SUM(C3:C7)</f>
        <v>6</v>
      </c>
      <c r="D8" s="2">
        <f>SUM(D3:D7)</f>
        <v>8</v>
      </c>
      <c r="E8" s="2">
        <f>SUM(E3:E7)</f>
        <v>17</v>
      </c>
      <c r="F8" s="5">
        <f t="shared" si="0"/>
        <v>0.19354838709677419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18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11</v>
      </c>
      <c r="C3" s="1">
        <v>2</v>
      </c>
      <c r="D3" s="1">
        <v>5</v>
      </c>
      <c r="E3" s="1">
        <v>4</v>
      </c>
      <c r="F3" s="5">
        <f t="shared" ref="F3:F8" si="0">IFERROR(C3/B3,0)</f>
        <v>0.18181818181818182</v>
      </c>
    </row>
    <row r="4" spans="1:6" ht="25" customHeight="1" x14ac:dyDescent="0.45">
      <c r="A4" s="2" t="s">
        <v>8</v>
      </c>
      <c r="B4" s="1">
        <v>9</v>
      </c>
      <c r="C4" s="1">
        <v>4</v>
      </c>
      <c r="D4" s="1">
        <v>4</v>
      </c>
      <c r="E4" s="1">
        <v>1</v>
      </c>
      <c r="F4" s="5">
        <f t="shared" si="0"/>
        <v>0.44444444444444442</v>
      </c>
    </row>
    <row r="5" spans="1:6" ht="25" customHeight="1" x14ac:dyDescent="0.45">
      <c r="A5" s="2" t="s">
        <v>9</v>
      </c>
      <c r="B5" s="1">
        <v>11</v>
      </c>
      <c r="C5" s="1">
        <v>4</v>
      </c>
      <c r="D5" s="1">
        <v>2</v>
      </c>
      <c r="E5" s="1">
        <v>5</v>
      </c>
      <c r="F5" s="5">
        <f t="shared" si="0"/>
        <v>0.36363636363636365</v>
      </c>
    </row>
    <row r="6" spans="1:6" ht="25" customHeight="1" x14ac:dyDescent="0.45">
      <c r="A6" s="2" t="s">
        <v>10</v>
      </c>
      <c r="B6" s="1">
        <v>9</v>
      </c>
      <c r="C6" s="1">
        <v>3</v>
      </c>
      <c r="D6" s="1">
        <v>2</v>
      </c>
      <c r="E6" s="1">
        <v>4</v>
      </c>
      <c r="F6" s="5">
        <f t="shared" si="0"/>
        <v>0.33333333333333331</v>
      </c>
    </row>
    <row r="7" spans="1:6" ht="25" customHeight="1" x14ac:dyDescent="0.45">
      <c r="A7" s="2" t="s">
        <v>11</v>
      </c>
      <c r="B7" s="1">
        <v>8</v>
      </c>
      <c r="C7" s="1">
        <v>2</v>
      </c>
      <c r="D7" s="1">
        <v>2</v>
      </c>
      <c r="E7" s="1">
        <v>4</v>
      </c>
      <c r="F7" s="5">
        <f t="shared" si="0"/>
        <v>0.25</v>
      </c>
    </row>
    <row r="8" spans="1:6" ht="25" customHeight="1" x14ac:dyDescent="0.45">
      <c r="A8" s="2" t="s">
        <v>12</v>
      </c>
      <c r="B8" s="2">
        <f>SUM(B3:B7)</f>
        <v>48</v>
      </c>
      <c r="C8" s="2">
        <f>SUM(C3:C7)</f>
        <v>15</v>
      </c>
      <c r="D8" s="2">
        <f>SUM(D3:D7)</f>
        <v>15</v>
      </c>
      <c r="E8" s="2">
        <f>SUM(E3:E7)</f>
        <v>18</v>
      </c>
      <c r="F8" s="5">
        <f t="shared" si="0"/>
        <v>0.3125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19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7</v>
      </c>
      <c r="C3" s="1">
        <v>2</v>
      </c>
      <c r="D3" s="1">
        <v>3</v>
      </c>
      <c r="E3" s="1">
        <v>2</v>
      </c>
      <c r="F3" s="5">
        <f t="shared" ref="F3:F8" si="0">IFERROR(C3/B3,0)</f>
        <v>0.2857142857142857</v>
      </c>
    </row>
    <row r="4" spans="1:6" ht="25" customHeight="1" x14ac:dyDescent="0.45">
      <c r="A4" s="2" t="s">
        <v>8</v>
      </c>
      <c r="B4" s="1">
        <v>8</v>
      </c>
      <c r="C4" s="1">
        <v>4</v>
      </c>
      <c r="D4" s="1">
        <v>2</v>
      </c>
      <c r="E4" s="1">
        <v>2</v>
      </c>
      <c r="F4" s="5">
        <f t="shared" si="0"/>
        <v>0.5</v>
      </c>
    </row>
    <row r="5" spans="1:6" ht="25" customHeight="1" x14ac:dyDescent="0.45">
      <c r="A5" s="2" t="s">
        <v>9</v>
      </c>
      <c r="B5" s="1">
        <v>10</v>
      </c>
      <c r="C5" s="1">
        <v>0</v>
      </c>
      <c r="D5" s="1">
        <v>5</v>
      </c>
      <c r="E5" s="1">
        <v>5</v>
      </c>
      <c r="F5" s="5">
        <f t="shared" si="0"/>
        <v>0</v>
      </c>
    </row>
    <row r="6" spans="1:6" ht="25" customHeight="1" x14ac:dyDescent="0.45">
      <c r="A6" s="2" t="s">
        <v>10</v>
      </c>
      <c r="B6" s="1">
        <v>11</v>
      </c>
      <c r="C6" s="1">
        <v>3</v>
      </c>
      <c r="D6" s="1">
        <v>3</v>
      </c>
      <c r="E6" s="1">
        <v>5</v>
      </c>
      <c r="F6" s="5">
        <f t="shared" si="0"/>
        <v>0.27272727272727271</v>
      </c>
    </row>
    <row r="7" spans="1:6" ht="25" customHeight="1" x14ac:dyDescent="0.45">
      <c r="A7" s="2" t="s">
        <v>11</v>
      </c>
      <c r="B7" s="1">
        <v>6</v>
      </c>
      <c r="C7" s="1">
        <v>2</v>
      </c>
      <c r="D7" s="1">
        <v>1</v>
      </c>
      <c r="E7" s="1">
        <v>3</v>
      </c>
      <c r="F7" s="5">
        <f t="shared" si="0"/>
        <v>0.33333333333333331</v>
      </c>
    </row>
    <row r="8" spans="1:6" ht="25" customHeight="1" x14ac:dyDescent="0.45">
      <c r="A8" s="2" t="s">
        <v>12</v>
      </c>
      <c r="B8" s="2">
        <f>SUM(B3:B7)</f>
        <v>42</v>
      </c>
      <c r="C8" s="2">
        <f>SUM(C3:C7)</f>
        <v>11</v>
      </c>
      <c r="D8" s="2">
        <f>SUM(D3:D7)</f>
        <v>14</v>
      </c>
      <c r="E8" s="2">
        <f>SUM(E3:E7)</f>
        <v>17</v>
      </c>
      <c r="F8" s="5">
        <f t="shared" si="0"/>
        <v>0.26190476190476192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20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6</v>
      </c>
      <c r="C3" s="1">
        <v>2</v>
      </c>
      <c r="D3" s="1">
        <v>1</v>
      </c>
      <c r="E3" s="1">
        <v>3</v>
      </c>
      <c r="F3" s="5">
        <f t="shared" ref="F3:F8" si="0">IFERROR(C3/B3,0)</f>
        <v>0.33333333333333331</v>
      </c>
    </row>
    <row r="4" spans="1:6" ht="25" customHeight="1" x14ac:dyDescent="0.45">
      <c r="A4" s="2" t="s">
        <v>8</v>
      </c>
      <c r="B4" s="1">
        <v>11</v>
      </c>
      <c r="C4" s="1">
        <v>1</v>
      </c>
      <c r="D4" s="1">
        <v>7</v>
      </c>
      <c r="E4" s="1">
        <v>3</v>
      </c>
      <c r="F4" s="5">
        <f t="shared" si="0"/>
        <v>9.0909090909090912E-2</v>
      </c>
    </row>
    <row r="5" spans="1:6" ht="25" customHeight="1" x14ac:dyDescent="0.45">
      <c r="A5" s="2" t="s">
        <v>9</v>
      </c>
      <c r="B5" s="1">
        <v>13</v>
      </c>
      <c r="C5" s="1">
        <v>5</v>
      </c>
      <c r="D5" s="1">
        <v>2</v>
      </c>
      <c r="E5" s="1">
        <v>6</v>
      </c>
      <c r="F5" s="5">
        <f t="shared" si="0"/>
        <v>0.38461538461538464</v>
      </c>
    </row>
    <row r="6" spans="1:6" ht="25" customHeight="1" x14ac:dyDescent="0.45">
      <c r="A6" s="2" t="s">
        <v>10</v>
      </c>
      <c r="B6" s="1">
        <v>13</v>
      </c>
      <c r="C6" s="1">
        <v>7</v>
      </c>
      <c r="D6" s="1">
        <v>3</v>
      </c>
      <c r="E6" s="1">
        <v>3</v>
      </c>
      <c r="F6" s="5">
        <f t="shared" si="0"/>
        <v>0.53846153846153844</v>
      </c>
    </row>
    <row r="7" spans="1:6" ht="25" customHeight="1" x14ac:dyDescent="0.45">
      <c r="A7" s="2" t="s">
        <v>11</v>
      </c>
      <c r="B7" s="1">
        <v>7</v>
      </c>
      <c r="C7" s="1">
        <v>2</v>
      </c>
      <c r="D7" s="1">
        <v>4</v>
      </c>
      <c r="E7" s="1">
        <v>1</v>
      </c>
      <c r="F7" s="5">
        <f t="shared" si="0"/>
        <v>0.2857142857142857</v>
      </c>
    </row>
    <row r="8" spans="1:6" ht="25" customHeight="1" x14ac:dyDescent="0.45">
      <c r="A8" s="2" t="s">
        <v>12</v>
      </c>
      <c r="B8" s="2">
        <f>SUM(B3:B7)</f>
        <v>50</v>
      </c>
      <c r="C8" s="2">
        <f>SUM(C3:C7)</f>
        <v>17</v>
      </c>
      <c r="D8" s="2">
        <f>SUM(D3:D7)</f>
        <v>17</v>
      </c>
      <c r="E8" s="2">
        <f>SUM(E3:E7)</f>
        <v>16</v>
      </c>
      <c r="F8" s="5">
        <f t="shared" si="0"/>
        <v>0.34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21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7</v>
      </c>
      <c r="C3" s="1">
        <v>3</v>
      </c>
      <c r="D3" s="1">
        <v>1</v>
      </c>
      <c r="E3" s="1">
        <v>3</v>
      </c>
      <c r="F3" s="5">
        <f t="shared" ref="F3:F8" si="0">IFERROR(C3/B3,0)</f>
        <v>0.42857142857142855</v>
      </c>
    </row>
    <row r="4" spans="1:6" ht="25" customHeight="1" x14ac:dyDescent="0.45">
      <c r="A4" s="2" t="s">
        <v>8</v>
      </c>
      <c r="B4" s="1">
        <v>5</v>
      </c>
      <c r="C4" s="1">
        <v>1</v>
      </c>
      <c r="D4" s="1">
        <v>2</v>
      </c>
      <c r="E4" s="1">
        <v>2</v>
      </c>
      <c r="F4" s="5">
        <f t="shared" si="0"/>
        <v>0.2</v>
      </c>
    </row>
    <row r="5" spans="1:6" ht="25" customHeight="1" x14ac:dyDescent="0.45">
      <c r="A5" s="2" t="s">
        <v>9</v>
      </c>
      <c r="B5" s="1">
        <v>9</v>
      </c>
      <c r="C5" s="1">
        <v>6</v>
      </c>
      <c r="D5" s="1">
        <v>2</v>
      </c>
      <c r="E5" s="1">
        <v>1</v>
      </c>
      <c r="F5" s="5">
        <f t="shared" si="0"/>
        <v>0.66666666666666663</v>
      </c>
    </row>
    <row r="6" spans="1:6" ht="25" customHeight="1" x14ac:dyDescent="0.45">
      <c r="A6" s="2" t="s">
        <v>10</v>
      </c>
      <c r="B6" s="1">
        <v>6</v>
      </c>
      <c r="C6" s="1">
        <v>3</v>
      </c>
      <c r="D6" s="1">
        <v>2</v>
      </c>
      <c r="E6" s="1">
        <v>1</v>
      </c>
      <c r="F6" s="5">
        <f t="shared" si="0"/>
        <v>0.5</v>
      </c>
    </row>
    <row r="7" spans="1:6" ht="25" customHeight="1" x14ac:dyDescent="0.45">
      <c r="A7" s="2" t="s">
        <v>11</v>
      </c>
      <c r="B7" s="1">
        <v>6</v>
      </c>
      <c r="C7" s="1">
        <v>2</v>
      </c>
      <c r="D7" s="1">
        <v>2</v>
      </c>
      <c r="E7" s="1">
        <v>2</v>
      </c>
      <c r="F7" s="5">
        <f t="shared" si="0"/>
        <v>0.33333333333333331</v>
      </c>
    </row>
    <row r="8" spans="1:6" ht="25" customHeight="1" x14ac:dyDescent="0.45">
      <c r="A8" s="2" t="s">
        <v>12</v>
      </c>
      <c r="B8" s="2">
        <f>SUM(B3:B7)</f>
        <v>33</v>
      </c>
      <c r="C8" s="2">
        <f>SUM(C3:C7)</f>
        <v>15</v>
      </c>
      <c r="D8" s="2">
        <f>SUM(D3:D7)</f>
        <v>9</v>
      </c>
      <c r="E8" s="2">
        <f>SUM(E3:E7)</f>
        <v>9</v>
      </c>
      <c r="F8" s="5">
        <f t="shared" si="0"/>
        <v>0.45454545454545453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22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5</v>
      </c>
      <c r="C3" s="1">
        <v>2</v>
      </c>
      <c r="D3" s="1">
        <v>0</v>
      </c>
      <c r="E3" s="1">
        <v>3</v>
      </c>
      <c r="F3" s="5">
        <f t="shared" ref="F3:F8" si="0">IFERROR(C3/B3,0)</f>
        <v>0.4</v>
      </c>
    </row>
    <row r="4" spans="1:6" ht="25" customHeight="1" x14ac:dyDescent="0.45">
      <c r="A4" s="2" t="s">
        <v>8</v>
      </c>
      <c r="B4" s="1">
        <v>4</v>
      </c>
      <c r="C4" s="1">
        <v>2</v>
      </c>
      <c r="D4" s="1">
        <v>1</v>
      </c>
      <c r="E4" s="1">
        <v>1</v>
      </c>
      <c r="F4" s="5">
        <f t="shared" si="0"/>
        <v>0.5</v>
      </c>
    </row>
    <row r="5" spans="1:6" ht="25" customHeight="1" x14ac:dyDescent="0.45">
      <c r="A5" s="2" t="s">
        <v>9</v>
      </c>
      <c r="B5" s="1">
        <v>9</v>
      </c>
      <c r="C5" s="1">
        <v>5</v>
      </c>
      <c r="D5" s="1">
        <v>1</v>
      </c>
      <c r="E5" s="1">
        <v>3</v>
      </c>
      <c r="F5" s="5">
        <f t="shared" si="0"/>
        <v>0.55555555555555558</v>
      </c>
    </row>
    <row r="6" spans="1:6" ht="25" customHeight="1" x14ac:dyDescent="0.45">
      <c r="A6" s="2" t="s">
        <v>10</v>
      </c>
      <c r="B6" s="1">
        <v>8</v>
      </c>
      <c r="C6" s="1">
        <v>2</v>
      </c>
      <c r="D6" s="1">
        <v>1</v>
      </c>
      <c r="E6" s="1">
        <v>5</v>
      </c>
      <c r="F6" s="5">
        <f t="shared" si="0"/>
        <v>0.25</v>
      </c>
    </row>
    <row r="7" spans="1:6" ht="25" customHeight="1" x14ac:dyDescent="0.45">
      <c r="A7" s="2" t="s">
        <v>11</v>
      </c>
      <c r="B7" s="1">
        <v>7</v>
      </c>
      <c r="C7" s="1">
        <v>0</v>
      </c>
      <c r="D7" s="1">
        <v>3</v>
      </c>
      <c r="E7" s="1">
        <v>4</v>
      </c>
      <c r="F7" s="5">
        <f t="shared" si="0"/>
        <v>0</v>
      </c>
    </row>
    <row r="8" spans="1:6" ht="25" customHeight="1" x14ac:dyDescent="0.45">
      <c r="A8" s="2" t="s">
        <v>12</v>
      </c>
      <c r="B8" s="2">
        <f>SUM(B3:B7)</f>
        <v>33</v>
      </c>
      <c r="C8" s="2">
        <f>SUM(C3:C7)</f>
        <v>11</v>
      </c>
      <c r="D8" s="2">
        <f>SUM(D3:D7)</f>
        <v>6</v>
      </c>
      <c r="E8" s="2">
        <f>SUM(E3:E7)</f>
        <v>16</v>
      </c>
      <c r="F8" s="5">
        <f t="shared" si="0"/>
        <v>0.33333333333333331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tabSelected="1" workbookViewId="0">
      <selection sqref="A1:F1"/>
    </sheetView>
  </sheetViews>
  <sheetFormatPr defaultRowHeight="17" x14ac:dyDescent="0.45"/>
  <cols>
    <col min="1" max="1" width="13.1640625" style="4" customWidth="1"/>
    <col min="2" max="2" width="12.5" style="4" customWidth="1"/>
    <col min="3" max="3" width="11.6640625" style="4" customWidth="1"/>
    <col min="4" max="4" width="12.83203125" style="4" customWidth="1"/>
    <col min="5" max="5" width="11.58203125" style="4" customWidth="1"/>
    <col min="6" max="6" width="13.25" style="4" customWidth="1"/>
  </cols>
  <sheetData>
    <row r="1" spans="1:6" ht="25" customHeight="1" x14ac:dyDescent="0.45">
      <c r="A1" s="6" t="s">
        <v>23</v>
      </c>
      <c r="B1" s="7"/>
      <c r="C1" s="7"/>
      <c r="D1" s="7"/>
      <c r="E1" s="7"/>
      <c r="F1" s="7"/>
    </row>
    <row r="2" spans="1:6" ht="25" customHeigh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25" customHeight="1" x14ac:dyDescent="0.45">
      <c r="A3" s="2" t="s">
        <v>7</v>
      </c>
      <c r="B3" s="1">
        <v>6</v>
      </c>
      <c r="C3" s="1">
        <v>2</v>
      </c>
      <c r="D3" s="1">
        <v>0</v>
      </c>
      <c r="E3" s="1">
        <v>4</v>
      </c>
      <c r="F3" s="5">
        <f t="shared" ref="F3:F8" si="0">IFERROR(C3/B3,0)</f>
        <v>0.33333333333333331</v>
      </c>
    </row>
    <row r="4" spans="1:6" ht="25" customHeight="1" x14ac:dyDescent="0.45">
      <c r="A4" s="2" t="s">
        <v>8</v>
      </c>
      <c r="B4" s="1">
        <v>7</v>
      </c>
      <c r="C4" s="1">
        <v>3</v>
      </c>
      <c r="D4" s="1">
        <v>3</v>
      </c>
      <c r="E4" s="1">
        <v>1</v>
      </c>
      <c r="F4" s="5">
        <f t="shared" si="0"/>
        <v>0.42857142857142855</v>
      </c>
    </row>
    <row r="5" spans="1:6" ht="25" customHeight="1" x14ac:dyDescent="0.45">
      <c r="A5" s="2" t="s">
        <v>9</v>
      </c>
      <c r="B5" s="1">
        <v>10</v>
      </c>
      <c r="C5" s="1">
        <v>4</v>
      </c>
      <c r="D5" s="1">
        <v>4</v>
      </c>
      <c r="E5" s="1">
        <v>2</v>
      </c>
      <c r="F5" s="5">
        <f t="shared" si="0"/>
        <v>0.4</v>
      </c>
    </row>
    <row r="6" spans="1:6" ht="25" customHeight="1" x14ac:dyDescent="0.45">
      <c r="A6" s="2" t="s">
        <v>10</v>
      </c>
      <c r="B6" s="1">
        <v>8</v>
      </c>
      <c r="C6" s="1">
        <v>4</v>
      </c>
      <c r="D6" s="1">
        <v>2</v>
      </c>
      <c r="E6" s="1">
        <v>2</v>
      </c>
      <c r="F6" s="5">
        <f t="shared" si="0"/>
        <v>0.5</v>
      </c>
    </row>
    <row r="7" spans="1:6" ht="25" customHeight="1" x14ac:dyDescent="0.45">
      <c r="A7" s="2" t="s">
        <v>11</v>
      </c>
      <c r="B7" s="1">
        <v>2</v>
      </c>
      <c r="C7" s="1">
        <v>0</v>
      </c>
      <c r="D7" s="1">
        <v>2</v>
      </c>
      <c r="E7" s="1">
        <v>0</v>
      </c>
      <c r="F7" s="5">
        <f t="shared" si="0"/>
        <v>0</v>
      </c>
    </row>
    <row r="8" spans="1:6" ht="25" customHeight="1" x14ac:dyDescent="0.45">
      <c r="A8" s="2" t="s">
        <v>12</v>
      </c>
      <c r="B8" s="2">
        <f>SUM(B3:B7)</f>
        <v>33</v>
      </c>
      <c r="C8" s="2">
        <f>SUM(C3:C7)</f>
        <v>13</v>
      </c>
      <c r="D8" s="2">
        <f>SUM(D3:D7)</f>
        <v>11</v>
      </c>
      <c r="E8" s="2">
        <f>SUM(E3:E7)</f>
        <v>9</v>
      </c>
      <c r="F8" s="5">
        <f t="shared" si="0"/>
        <v>0.39393939393939392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Kyoung Ju Min</dc:creator>
  <cp:lastModifiedBy>Kyoung Ju Min</cp:lastModifiedBy>
  <dcterms:created xsi:type="dcterms:W3CDTF">2025-11-09T03:57:25Z</dcterms:created>
  <dcterms:modified xsi:type="dcterms:W3CDTF">2025-11-09T04:31:29Z</dcterms:modified>
</cp:coreProperties>
</file>